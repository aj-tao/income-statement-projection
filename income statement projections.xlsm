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Z:\PROJECT 2\"/>
    </mc:Choice>
  </mc:AlternateContent>
  <xr:revisionPtr revIDLastSave="0" documentId="13_ncr:1_{1E9B7FE9-4C8C-4710-974E-24C3951E1EBD}" xr6:coauthVersionLast="47" xr6:coauthVersionMax="47" xr10:uidLastSave="{00000000-0000-0000-0000-000000000000}"/>
  <bookViews>
    <workbookView xWindow="-98" yWindow="-98" windowWidth="25396" windowHeight="13531" activeTab="1" xr2:uid="{5D57806C-FF20-6B42-9DF8-59469BA0678D}"/>
  </bookViews>
  <sheets>
    <sheet name="2021 Income Statement" sheetId="1" r:id="rId1"/>
    <sheet name="Income Projections" sheetId="2" r:id="rId2"/>
  </sheets>
  <externalReferences>
    <externalReference r:id="rId3"/>
  </externalReferences>
  <definedNames>
    <definedName name="_xleta.AND" hidden="1" xlm="1">#NAME?</definedName>
    <definedName name="_xleta.SUM" hidden="1" xlm="1">#NAME?</definedName>
    <definedName name="calc_lookup">'[1]Scenario Testing'!$C$7:$E$12</definedName>
    <definedName name="expenses">'2021 Income Statement'!$B$7:$C$12</definedName>
    <definedName name="revenue">'2021 Income Statement'!$B$3:$C$5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J20" i="2"/>
  <c r="K7" i="2"/>
  <c r="K8" i="2"/>
  <c r="K15" i="2"/>
  <c r="K14" i="2"/>
  <c r="K12" i="2"/>
  <c r="K13" i="2"/>
  <c r="K16" i="2"/>
  <c r="K11" i="2"/>
  <c r="K9" i="2"/>
  <c r="L12" i="2"/>
  <c r="L13" i="2"/>
  <c r="N13" i="2" s="1"/>
  <c r="L14" i="2"/>
  <c r="M14" i="2" s="1"/>
  <c r="L15" i="2"/>
  <c r="N15" i="2" s="1"/>
  <c r="L16" i="2"/>
  <c r="L11" i="2"/>
  <c r="L8" i="2"/>
  <c r="L9" i="2"/>
  <c r="L7" i="2"/>
  <c r="J18" i="2"/>
  <c r="N8" i="2" l="1"/>
  <c r="O7" i="2"/>
  <c r="N16" i="2"/>
  <c r="N12" i="2"/>
  <c r="O11" i="2"/>
  <c r="O16" i="2"/>
  <c r="M8" i="2"/>
  <c r="O8" i="2"/>
  <c r="O14" i="2"/>
  <c r="L10" i="2"/>
  <c r="O12" i="2"/>
  <c r="P7" i="2"/>
  <c r="N7" i="2"/>
  <c r="M9" i="2"/>
  <c r="N11" i="2"/>
  <c r="M16" i="2"/>
  <c r="M15" i="2"/>
  <c r="M13" i="2"/>
  <c r="M12" i="2"/>
  <c r="L17" i="2"/>
  <c r="M7" i="2"/>
  <c r="P9" i="2"/>
  <c r="P8" i="2"/>
  <c r="M11" i="2"/>
  <c r="P16" i="2"/>
  <c r="P15" i="2"/>
  <c r="P14" i="2"/>
  <c r="P13" i="2"/>
  <c r="P12" i="2"/>
  <c r="P11" i="2"/>
  <c r="O15" i="2"/>
  <c r="O13" i="2"/>
  <c r="O9" i="2"/>
  <c r="N9" i="2"/>
  <c r="N14" i="2"/>
  <c r="M10" i="2" l="1"/>
  <c r="M17" i="2"/>
  <c r="L18" i="2"/>
  <c r="P10" i="2"/>
  <c r="P17" i="2"/>
  <c r="O10" i="2"/>
  <c r="N10" i="2"/>
  <c r="O17" i="2"/>
  <c r="N17" i="2"/>
  <c r="N18" i="2" s="1"/>
  <c r="O18" i="2" l="1"/>
  <c r="P18" i="2"/>
  <c r="M18" i="2"/>
</calcChain>
</file>

<file path=xl/sharedStrings.xml><?xml version="1.0" encoding="utf-8"?>
<sst xmlns="http://schemas.openxmlformats.org/spreadsheetml/2006/main" count="62" uniqueCount="31">
  <si>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</si>
  <si>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</si>
  <si>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</si>
  <si>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</si>
  <si>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</si>
  <si>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</si>
  <si>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</si>
  <si>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</si>
  <si>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</si>
  <si>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</si>
  <si>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</si>
  <si>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</si>
  <si>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</si>
  <si>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</si>
  <si>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</si>
  <si>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</si>
  <si>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</si>
  <si>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Annual change</t>
  </si>
  <si>
    <t>Interest rate</t>
  </si>
  <si>
    <t>Inputs</t>
  </si>
  <si>
    <t>Increase or decrease?</t>
  </si>
  <si>
    <t>Increase</t>
  </si>
  <si>
    <t>Decrease</t>
  </si>
  <si>
    <t>No change</t>
  </si>
  <si>
    <t>Total revenue</t>
  </si>
  <si>
    <t>Total expenses</t>
  </si>
  <si>
    <t>Net income</t>
  </si>
  <si>
    <t>Projected income statement (in thousands)</t>
  </si>
  <si>
    <t>Annual change 
accounting for interest rate</t>
  </si>
  <si>
    <t>Input annual changes and whether they represent increasing or decreasing changes</t>
  </si>
  <si>
    <t>Total 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</si>
</sst>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000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67549E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C3165"/>
        <bgColor indexed="64"/>
      </patternFill>
    </fill>
    <fill>
      <patternFill patternType="solid">
        <fgColor theme="5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3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1" fillId="0" borderId="8" xfId="0" applyFont="1" applyBorder="1"/>
    <xf numFmtId="0" fontId="1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1" fillId="0" borderId="9" xfId="0" applyFont="1" applyBorder="1"/>
    <xf numFmtId="0" fontId="1" fillId="0" borderId="17" xfId="0" applyFont="1" applyBorder="1"/>
    <xf numFmtId="165" fontId="0" fillId="0" borderId="2" xfId="1" applyNumberFormat="1" applyFont="1" applyBorder="1"/>
    <xf numFmtId="165" fontId="0" fillId="0" borderId="5" xfId="1" applyNumberFormat="1" applyFont="1" applyFill="1" applyBorder="1"/>
    <xf numFmtId="165" fontId="1" fillId="0" borderId="16" xfId="1" applyNumberFormat="1" applyFont="1" applyBorder="1"/>
    <xf numFmtId="165" fontId="0" fillId="0" borderId="10" xfId="1" applyNumberFormat="1" applyFont="1" applyFill="1" applyBorder="1"/>
    <xf numFmtId="165" fontId="0" fillId="0" borderId="11" xfId="1" applyNumberFormat="1" applyFont="1" applyBorder="1"/>
    <xf numFmtId="165" fontId="0" fillId="0" borderId="12" xfId="1" applyNumberFormat="1" applyFont="1" applyFill="1" applyBorder="1"/>
    <xf numFmtId="165" fontId="0" fillId="0" borderId="12" xfId="1" applyNumberFormat="1" applyFont="1" applyBorder="1"/>
    <xf numFmtId="165" fontId="0" fillId="0" borderId="13" xfId="1" applyNumberFormat="1" applyFont="1" applyFill="1" applyBorder="1"/>
    <xf numFmtId="165" fontId="1" fillId="0" borderId="14" xfId="1" applyNumberFormat="1" applyFont="1" applyBorder="1"/>
    <xf numFmtId="165" fontId="1" fillId="0" borderId="15" xfId="1" applyNumberFormat="1" applyFont="1" applyBorder="1"/>
    <xf numFmtId="165" fontId="4" fillId="0" borderId="4" xfId="1" applyNumberFormat="1" applyFont="1" applyBorder="1"/>
    <xf numFmtId="165" fontId="4" fillId="0" borderId="12" xfId="1" applyNumberFormat="1" applyFont="1" applyBorder="1"/>
    <xf numFmtId="0" fontId="0" fillId="0" borderId="22" xfId="0" applyBorder="1"/>
    <xf numFmtId="0" fontId="0" fillId="0" borderId="27" xfId="0" applyBorder="1"/>
    <xf numFmtId="9" fontId="0" fillId="5" borderId="26" xfId="0" applyNumberFormat="1" applyFill="1" applyBorder="1"/>
    <xf numFmtId="0" fontId="5" fillId="6" borderId="25" xfId="0" applyFont="1" applyFill="1" applyBorder="1"/>
    <xf numFmtId="9" fontId="0" fillId="5" borderId="0" xfId="0" applyNumberFormat="1" applyFill="1"/>
    <xf numFmtId="10" fontId="0" fillId="5" borderId="27" xfId="0" applyNumberFormat="1" applyFill="1" applyBorder="1"/>
    <xf numFmtId="10" fontId="0" fillId="5" borderId="0" xfId="0" applyNumberFormat="1" applyFill="1"/>
    <xf numFmtId="0" fontId="5" fillId="7" borderId="25" xfId="0" applyFont="1" applyFill="1" applyBorder="1"/>
    <xf numFmtId="9" fontId="0" fillId="5" borderId="31" xfId="0" applyNumberFormat="1" applyFill="1" applyBorder="1"/>
    <xf numFmtId="0" fontId="7" fillId="5" borderId="28" xfId="0" applyFont="1" applyFill="1" applyBorder="1"/>
    <xf numFmtId="0" fontId="7" fillId="5" borderId="29" xfId="0" applyFont="1" applyFill="1" applyBorder="1"/>
    <xf numFmtId="0" fontId="7" fillId="5" borderId="30" xfId="0" applyFont="1" applyFill="1" applyBorder="1"/>
    <xf numFmtId="0" fontId="5" fillId="9" borderId="25" xfId="0" applyFont="1" applyFill="1" applyBorder="1"/>
    <xf numFmtId="0" fontId="5" fillId="9" borderId="18" xfId="0" applyFont="1" applyFill="1" applyBorder="1"/>
    <xf numFmtId="0" fontId="6" fillId="2" borderId="25" xfId="0" applyFont="1" applyFill="1" applyBorder="1"/>
    <xf numFmtId="0" fontId="6" fillId="3" borderId="19" xfId="0" applyFont="1" applyFill="1" applyBorder="1"/>
    <xf numFmtId="0" fontId="6" fillId="3" borderId="21" xfId="0" applyFont="1" applyFill="1" applyBorder="1"/>
    <xf numFmtId="0" fontId="6" fillId="4" borderId="21" xfId="0" applyFont="1" applyFill="1" applyBorder="1"/>
    <xf numFmtId="0" fontId="6" fillId="3" borderId="23" xfId="0" applyFont="1" applyFill="1" applyBorder="1"/>
    <xf numFmtId="0" fontId="6" fillId="4" borderId="23" xfId="0" applyFont="1" applyFill="1" applyBorder="1"/>
    <xf numFmtId="0" fontId="0" fillId="11" borderId="32" xfId="0" applyFill="1" applyBorder="1"/>
    <xf numFmtId="0" fontId="8" fillId="0" borderId="21" xfId="0" applyFont="1" applyBorder="1"/>
    <xf numFmtId="3" fontId="8" fillId="0" borderId="19" xfId="0" applyNumberFormat="1" applyFont="1" applyBorder="1"/>
    <xf numFmtId="3" fontId="8" fillId="0" borderId="21" xfId="0" applyNumberFormat="1" applyFont="1" applyBorder="1"/>
    <xf numFmtId="3" fontId="8" fillId="0" borderId="23" xfId="0" applyNumberFormat="1" applyFont="1" applyBorder="1"/>
    <xf numFmtId="3" fontId="9" fillId="0" borderId="25" xfId="0" applyNumberFormat="1" applyFont="1" applyBorder="1"/>
    <xf numFmtId="0" fontId="6" fillId="7" borderId="23" xfId="0" applyFont="1" applyFill="1" applyBorder="1"/>
    <xf numFmtId="0" fontId="0" fillId="11" borderId="27" xfId="0" applyFill="1" applyBorder="1"/>
    <xf numFmtId="3" fontId="9" fillId="0" borderId="23" xfId="0" applyNumberFormat="1" applyFont="1" applyBorder="1"/>
    <xf numFmtId="0" fontId="6" fillId="8" borderId="33" xfId="0" applyFont="1" applyFill="1" applyBorder="1"/>
    <xf numFmtId="0" fontId="0" fillId="11" borderId="34" xfId="0" applyFill="1" applyBorder="1"/>
    <xf numFmtId="3" fontId="9" fillId="0" borderId="33" xfId="0" applyNumberFormat="1" applyFont="1" applyBorder="1"/>
    <xf numFmtId="166" fontId="0" fillId="12" borderId="31" xfId="2" applyNumberFormat="1" applyFont="1" applyFill="1" applyBorder="1"/>
    <xf numFmtId="166" fontId="0" fillId="12" borderId="0" xfId="2" applyNumberFormat="1" applyFont="1" applyFill="1" applyBorder="1"/>
    <xf numFmtId="3" fontId="0" fillId="0" borderId="31" xfId="0" applyNumberFormat="1" applyBorder="1"/>
    <xf numFmtId="3" fontId="0" fillId="0" borderId="20" xfId="0" applyNumberFormat="1" applyBorder="1"/>
    <xf numFmtId="3" fontId="0" fillId="0" borderId="0" xfId="0" applyNumberFormat="1"/>
    <xf numFmtId="3" fontId="0" fillId="0" borderId="22" xfId="0" applyNumberFormat="1" applyBorder="1"/>
    <xf numFmtId="3" fontId="0" fillId="0" borderId="27" xfId="0" applyNumberFormat="1" applyBorder="1"/>
    <xf numFmtId="3" fontId="0" fillId="0" borderId="24" xfId="0" applyNumberFormat="1" applyBorder="1"/>
    <xf numFmtId="3" fontId="1" fillId="0" borderId="32" xfId="0" applyNumberFormat="1" applyFont="1" applyBorder="1"/>
    <xf numFmtId="3" fontId="1" fillId="0" borderId="26" xfId="0" applyNumberFormat="1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3" fontId="1" fillId="0" borderId="27" xfId="0" applyNumberFormat="1" applyFont="1" applyBorder="1"/>
    <xf numFmtId="3" fontId="1" fillId="0" borderId="24" xfId="0" applyNumberFormat="1" applyFont="1" applyBorder="1"/>
    <xf numFmtId="0" fontId="5" fillId="10" borderId="1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0" fontId="5" fillId="10" borderId="20" xfId="0" applyFont="1" applyFill="1" applyBorder="1" applyAlignment="1">
      <alignment horizontal="center"/>
    </xf>
    <xf numFmtId="0" fontId="5" fillId="9" borderId="19" xfId="0" applyFont="1" applyFill="1" applyBorder="1" applyAlignment="1">
      <alignment horizontal="center" wrapText="1"/>
    </xf>
    <xf numFmtId="0" fontId="5" fillId="9" borderId="2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3" borderId="19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13" borderId="25" xfId="0" applyFont="1" applyFill="1" applyBorder="1"/>
    <xf numFmtId="0" fontId="6" fillId="13" borderId="32" xfId="0" applyFont="1" applyFill="1" applyBorder="1"/>
    <xf numFmtId="0" fontId="0" fillId="0" borderId="0" xfId="0" applyBorder="1"/>
    <xf numFmtId="3" fontId="0" fillId="14" borderId="26" xfId="0" applyNumberFormat="1" applyFill="1" applyBorder="1" applyAlignment="1">
      <alignment horizontal="center"/>
    </xf>
    <xf numFmtId="0" fontId="0" fillId="14" borderId="32" xfId="0" applyFill="1" applyBorder="1" applyAlignment="1">
      <alignment horizontal="center"/>
    </xf>
    <xf numFmtId="0" fontId="0" fillId="14" borderId="26" xfId="0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FF9966"/>
        </patternFill>
      </fill>
    </dxf>
  </dxfs>
  <tableStyles count="0" defaultTableStyle="TableStyleMedium2" defaultPivotStyle="PivotStyleLight16"/>
  <colors>
    <mruColors>
      <color rgb="FF3C3165"/>
      <color rgb="FF67549E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ean\Downloads\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dimension ref="A1:C14"/>
  <sheetViews>
    <sheetView workbookViewId="0">
      <selection activeCell="C7" sqref="B7:C12"/>
    </sheetView>
  </sheetViews>
  <sheetFormatPr defaultColWidth="11" defaultRowHeight="15.75" x14ac:dyDescent="0.5"/>
  <cols>
    <col min="2" max="2" width="35.625" bestFit="1" customWidth="1"/>
    <col min="3" max="3" width="11.625" bestFit="1" customWidth="1"/>
  </cols>
  <sheetData>
    <row r="1" spans="1:3" ht="28.5" x14ac:dyDescent="0.85">
      <c r="B1" s="1" t="s">
        <v>0</v>
      </c>
      <c r="C1" t="s">
        <v>16</v>
      </c>
    </row>
    <row r="2" spans="1:3" x14ac:dyDescent="0.5">
      <c r="C2" s="2">
        <v>2021</v>
      </c>
    </row>
    <row r="3" spans="1:3" x14ac:dyDescent="0.5">
      <c r="A3" s="84" t="s">
        <v>1</v>
      </c>
      <c r="B3" s="3" t="s">
        <v>2</v>
      </c>
      <c r="C3" s="13">
        <v>45677</v>
      </c>
    </row>
    <row r="4" spans="1:3" x14ac:dyDescent="0.5">
      <c r="A4" s="85"/>
      <c r="B4" s="4" t="s">
        <v>3</v>
      </c>
      <c r="C4" s="23">
        <v>-65007</v>
      </c>
    </row>
    <row r="5" spans="1:3" ht="16.149999999999999" thickBot="1" x14ac:dyDescent="0.55000000000000004">
      <c r="A5" s="85"/>
      <c r="B5" s="5" t="s">
        <v>4</v>
      </c>
      <c r="C5" s="14">
        <v>567485</v>
      </c>
    </row>
    <row r="6" spans="1:3" ht="16.149999999999999" thickTop="1" x14ac:dyDescent="0.5">
      <c r="A6" s="86"/>
      <c r="B6" s="7" t="s">
        <v>5</v>
      </c>
      <c r="C6" s="15">
        <v>548155</v>
      </c>
    </row>
    <row r="7" spans="1:3" x14ac:dyDescent="0.5">
      <c r="A7" s="84" t="s">
        <v>6</v>
      </c>
      <c r="B7" s="8" t="s">
        <v>7</v>
      </c>
      <c r="C7" s="16">
        <v>65583</v>
      </c>
    </row>
    <row r="8" spans="1:3" x14ac:dyDescent="0.5">
      <c r="A8" s="85"/>
      <c r="B8" s="9" t="s">
        <v>8</v>
      </c>
      <c r="C8" s="17">
        <v>55478</v>
      </c>
    </row>
    <row r="9" spans="1:3" x14ac:dyDescent="0.5">
      <c r="A9" s="85"/>
      <c r="B9" s="9" t="s">
        <v>9</v>
      </c>
      <c r="C9" s="18">
        <v>78965</v>
      </c>
    </row>
    <row r="10" spans="1:3" x14ac:dyDescent="0.5">
      <c r="A10" s="85"/>
      <c r="B10" s="9" t="s">
        <v>10</v>
      </c>
      <c r="C10" s="24">
        <v>-2456</v>
      </c>
    </row>
    <row r="11" spans="1:3" x14ac:dyDescent="0.5">
      <c r="A11" s="85"/>
      <c r="B11" s="9" t="s">
        <v>11</v>
      </c>
      <c r="C11" s="19">
        <v>3456</v>
      </c>
    </row>
    <row r="12" spans="1:3" ht="16.149999999999999" thickBot="1" x14ac:dyDescent="0.55000000000000004">
      <c r="A12" s="85"/>
      <c r="B12" s="10" t="s">
        <v>12</v>
      </c>
      <c r="C12" s="20">
        <v>2870</v>
      </c>
    </row>
    <row r="13" spans="1:3" ht="16.5" thickTop="1" thickBot="1" x14ac:dyDescent="0.55000000000000004">
      <c r="A13" s="86"/>
      <c r="B13" s="11" t="s">
        <v>13</v>
      </c>
      <c r="C13" s="21">
        <v>203896</v>
      </c>
    </row>
    <row r="14" spans="1:3" ht="16.149999999999999" thickTop="1" x14ac:dyDescent="0.5">
      <c r="A14" s="6" t="s">
        <v>14</v>
      </c>
      <c r="B14" s="12" t="s">
        <v>15</v>
      </c>
      <c r="C14" s="22">
        <v>344259</v>
      </c>
    </row>
  </sheetData>
  <mergeCells count="2">
    <mergeCell ref="A3:A6"/>
    <mergeCell ref="A7:A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B3B8-1206-4AB6-9944-85D9CE4D8EA5}">
  <dimension ref="A1:P28"/>
  <sheetViews>
    <sheetView tabSelected="1" topLeftCell="E1" zoomScaleNormal="100" workbookViewId="0">
      <selection activeCell="J23" sqref="J23"/>
    </sheetView>
  </sheetViews>
  <sheetFormatPr defaultRowHeight="15.75" x14ac:dyDescent="0.5"/>
  <cols>
    <col min="1" max="1" width="0" hidden="1" customWidth="1"/>
    <col min="3" max="3" width="9.3125" customWidth="1"/>
    <col min="4" max="4" width="34.8125" bestFit="1" customWidth="1"/>
    <col min="5" max="5" width="13.9375" customWidth="1"/>
    <col min="6" max="6" width="18.625" bestFit="1" customWidth="1"/>
    <col min="9" max="9" width="14.5625" bestFit="1" customWidth="1"/>
    <col min="10" max="10" width="34.8125" bestFit="1" customWidth="1"/>
    <col min="11" max="11" width="23.25" bestFit="1" customWidth="1"/>
  </cols>
  <sheetData>
    <row r="1" spans="1:16" x14ac:dyDescent="0.5">
      <c r="C1" s="76" t="s">
        <v>29</v>
      </c>
      <c r="D1" s="76"/>
      <c r="E1" s="76"/>
      <c r="F1" s="76"/>
    </row>
    <row r="2" spans="1:16" x14ac:dyDescent="0.5">
      <c r="C2" s="76"/>
      <c r="D2" s="76"/>
      <c r="E2" s="76"/>
      <c r="F2" s="76"/>
    </row>
    <row r="3" spans="1:16" x14ac:dyDescent="0.5">
      <c r="A3" t="s">
        <v>21</v>
      </c>
    </row>
    <row r="4" spans="1:16" ht="16.149999999999999" thickBot="1" x14ac:dyDescent="0.55000000000000004">
      <c r="A4" t="s">
        <v>22</v>
      </c>
      <c r="D4" s="77" t="s">
        <v>19</v>
      </c>
      <c r="E4" s="78"/>
    </row>
    <row r="5" spans="1:16" ht="16.149999999999999" thickBot="1" x14ac:dyDescent="0.55000000000000004">
      <c r="A5" t="s">
        <v>23</v>
      </c>
      <c r="K5" s="74" t="s">
        <v>28</v>
      </c>
      <c r="L5" s="71" t="s">
        <v>27</v>
      </c>
      <c r="M5" s="72"/>
      <c r="N5" s="72"/>
      <c r="O5" s="72"/>
      <c r="P5" s="73"/>
    </row>
    <row r="6" spans="1:16" ht="16.149999999999999" thickBot="1" x14ac:dyDescent="0.55000000000000004">
      <c r="D6" s="26"/>
      <c r="E6" s="37" t="s">
        <v>17</v>
      </c>
      <c r="F6" s="38" t="s">
        <v>20</v>
      </c>
      <c r="K6" s="75"/>
      <c r="L6" s="46">
        <v>2021</v>
      </c>
      <c r="M6">
        <v>2022</v>
      </c>
      <c r="N6">
        <v>2023</v>
      </c>
      <c r="O6">
        <v>2024</v>
      </c>
      <c r="P6" s="25">
        <v>2025</v>
      </c>
    </row>
    <row r="7" spans="1:16" x14ac:dyDescent="0.5">
      <c r="C7" s="79" t="s">
        <v>1</v>
      </c>
      <c r="D7" s="40" t="s">
        <v>2</v>
      </c>
      <c r="E7" s="33">
        <v>0.03</v>
      </c>
      <c r="F7" s="34" t="s">
        <v>21</v>
      </c>
      <c r="I7" s="79" t="s">
        <v>1</v>
      </c>
      <c r="J7" s="40" t="s">
        <v>2</v>
      </c>
      <c r="K7" s="57">
        <f>$E$7</f>
        <v>0.03</v>
      </c>
      <c r="L7" s="47">
        <f>VLOOKUP($J7,revenue,2,FALSE)</f>
        <v>45677</v>
      </c>
      <c r="M7" s="59">
        <f t="shared" ref="M7:P9" si="0">$L7*(1+IF($F7="Decrease",-1,1)*$K7)^(M$6-$L$6)</f>
        <v>47047.31</v>
      </c>
      <c r="N7" s="59">
        <f t="shared" si="0"/>
        <v>48458.729299999999</v>
      </c>
      <c r="O7" s="59">
        <f t="shared" si="0"/>
        <v>49912.491178999997</v>
      </c>
      <c r="P7" s="60">
        <f t="shared" si="0"/>
        <v>51409.865914369999</v>
      </c>
    </row>
    <row r="8" spans="1:16" x14ac:dyDescent="0.5">
      <c r="C8" s="80"/>
      <c r="D8" s="41" t="s">
        <v>3</v>
      </c>
      <c r="E8" s="29">
        <v>0.01</v>
      </c>
      <c r="F8" s="35" t="s">
        <v>21</v>
      </c>
      <c r="I8" s="80"/>
      <c r="J8" s="41" t="s">
        <v>3</v>
      </c>
      <c r="K8" s="58">
        <f>$E$8</f>
        <v>0.01</v>
      </c>
      <c r="L8" s="48">
        <f>VLOOKUP($J8,revenue,2,FALSE)</f>
        <v>-65007</v>
      </c>
      <c r="M8" s="61">
        <f t="shared" si="0"/>
        <v>-65657.070000000007</v>
      </c>
      <c r="N8" s="61">
        <f t="shared" si="0"/>
        <v>-66313.640700000004</v>
      </c>
      <c r="O8" s="61">
        <f t="shared" si="0"/>
        <v>-66976.777106999987</v>
      </c>
      <c r="P8" s="62">
        <f t="shared" si="0"/>
        <v>-67646.544878069995</v>
      </c>
    </row>
    <row r="9" spans="1:16" ht="16.149999999999999" thickBot="1" x14ac:dyDescent="0.55000000000000004">
      <c r="C9" s="81"/>
      <c r="D9" s="43" t="s">
        <v>4</v>
      </c>
      <c r="E9" s="30">
        <v>2E-3</v>
      </c>
      <c r="F9" s="36" t="s">
        <v>21</v>
      </c>
      <c r="I9" s="81"/>
      <c r="J9" s="41" t="s">
        <v>4</v>
      </c>
      <c r="K9" s="58">
        <f>IF((0.02 &lt;= $E$17)*($E$17 &lt;= 0.04),1-0.25%,IF((0.05 &lt;= $E$17)*($E$17 &lt;= 0.07),1+0.625%,1))*$E$9</f>
        <v>1.9950000000000002E-3</v>
      </c>
      <c r="L9" s="49">
        <f>VLOOKUP($J9,revenue,2,FALSE)</f>
        <v>567485</v>
      </c>
      <c r="M9" s="63">
        <f t="shared" si="0"/>
        <v>568617.13257499994</v>
      </c>
      <c r="N9" s="63">
        <f t="shared" si="0"/>
        <v>569751.52375448705</v>
      </c>
      <c r="O9" s="63">
        <f t="shared" si="0"/>
        <v>570888.17804437724</v>
      </c>
      <c r="P9" s="64">
        <f t="shared" si="0"/>
        <v>572027.0999595758</v>
      </c>
    </row>
    <row r="10" spans="1:16" ht="16.149999999999999" thickBot="1" x14ac:dyDescent="0.55000000000000004">
      <c r="C10" s="82" t="s">
        <v>6</v>
      </c>
      <c r="D10" s="42" t="s">
        <v>7</v>
      </c>
      <c r="E10" s="29">
        <v>0.01</v>
      </c>
      <c r="F10" s="35" t="s">
        <v>22</v>
      </c>
      <c r="J10" s="39" t="s">
        <v>24</v>
      </c>
      <c r="K10" s="45"/>
      <c r="L10" s="50">
        <f>SUM(L$7:L$9)</f>
        <v>548155</v>
      </c>
      <c r="M10" s="65">
        <f>SUM(M$7:M$9)</f>
        <v>550007.37257499993</v>
      </c>
      <c r="N10" s="65">
        <f t="shared" ref="N10:P10" si="1">SUM(N$7:N$9)</f>
        <v>551896.61235448706</v>
      </c>
      <c r="O10" s="65">
        <f t="shared" si="1"/>
        <v>553823.89211637725</v>
      </c>
      <c r="P10" s="66">
        <f t="shared" si="1"/>
        <v>555790.42099587584</v>
      </c>
    </row>
    <row r="11" spans="1:16" x14ac:dyDescent="0.5">
      <c r="C11" s="82"/>
      <c r="D11" s="42" t="s">
        <v>8</v>
      </c>
      <c r="E11" s="29">
        <v>0.01</v>
      </c>
      <c r="F11" s="35" t="s">
        <v>21</v>
      </c>
      <c r="I11" s="82" t="s">
        <v>6</v>
      </c>
      <c r="J11" s="42" t="s">
        <v>7</v>
      </c>
      <c r="K11" s="58">
        <f>IF((0.02 &lt;= $E$17)*($E$17 &lt;= 0.04),1+1%,IF((0.05 &lt;= $E$17)*($E$17 &lt;= 0.07),1-0.7%,1))*$E$10</f>
        <v>1.01E-2</v>
      </c>
      <c r="L11" s="47">
        <f t="shared" ref="L11:L16" si="2">VLOOKUP($J11,expenses,2,FALSE)</f>
        <v>65583</v>
      </c>
      <c r="M11" s="59">
        <f t="shared" ref="M11:P16" si="3">$L11*(1+IF($F10="Decrease",-1,1)*$K11)^(M$6-$L$6)</f>
        <v>64920.611700000001</v>
      </c>
      <c r="N11" s="59">
        <f t="shared" si="3"/>
        <v>64264.91352183</v>
      </c>
      <c r="O11" s="59">
        <f t="shared" si="3"/>
        <v>63615.837895259516</v>
      </c>
      <c r="P11" s="60">
        <f t="shared" si="3"/>
        <v>62973.317932517399</v>
      </c>
    </row>
    <row r="12" spans="1:16" x14ac:dyDescent="0.5">
      <c r="C12" s="82"/>
      <c r="D12" s="42" t="s">
        <v>9</v>
      </c>
      <c r="E12" s="31">
        <v>5.0000000000000001E-3</v>
      </c>
      <c r="F12" s="35" t="s">
        <v>21</v>
      </c>
      <c r="I12" s="82"/>
      <c r="J12" s="42" t="s">
        <v>8</v>
      </c>
      <c r="K12" s="58">
        <f>$E$11</f>
        <v>0.01</v>
      </c>
      <c r="L12" s="48">
        <f t="shared" si="2"/>
        <v>55478</v>
      </c>
      <c r="M12" s="61">
        <f t="shared" si="3"/>
        <v>56032.78</v>
      </c>
      <c r="N12" s="61">
        <f t="shared" si="3"/>
        <v>56593.107799999998</v>
      </c>
      <c r="O12" s="61">
        <f t="shared" si="3"/>
        <v>57159.038877999992</v>
      </c>
      <c r="P12" s="62">
        <f t="shared" si="3"/>
        <v>57730.629266780001</v>
      </c>
    </row>
    <row r="13" spans="1:16" x14ac:dyDescent="0.5">
      <c r="C13" s="82"/>
      <c r="D13" s="42" t="s">
        <v>10</v>
      </c>
      <c r="E13" s="31">
        <v>8.9999999999999993E-3</v>
      </c>
      <c r="F13" s="35" t="s">
        <v>21</v>
      </c>
      <c r="I13" s="82"/>
      <c r="J13" s="42" t="s">
        <v>9</v>
      </c>
      <c r="K13" s="58">
        <f>IF((0.02 &lt;= $E$17)*($E$17 &lt;= 0.04),1 + 2%,1)*$E$12</f>
        <v>5.1000000000000004E-3</v>
      </c>
      <c r="L13" s="48">
        <f t="shared" si="2"/>
        <v>78965</v>
      </c>
      <c r="M13" s="61">
        <f t="shared" si="3"/>
        <v>79367.721500000014</v>
      </c>
      <c r="N13" s="61">
        <f t="shared" si="3"/>
        <v>79772.496879650018</v>
      </c>
      <c r="O13" s="61">
        <f t="shared" si="3"/>
        <v>80179.336613736246</v>
      </c>
      <c r="P13" s="62">
        <f t="shared" si="3"/>
        <v>80588.251230466311</v>
      </c>
    </row>
    <row r="14" spans="1:16" x14ac:dyDescent="0.5">
      <c r="C14" s="82"/>
      <c r="D14" s="42" t="s">
        <v>11</v>
      </c>
      <c r="E14" s="29">
        <v>0.02</v>
      </c>
      <c r="F14" s="35" t="s">
        <v>21</v>
      </c>
      <c r="I14" s="82"/>
      <c r="J14" s="42" t="s">
        <v>10</v>
      </c>
      <c r="K14" s="58">
        <f>$E$13</f>
        <v>8.9999999999999993E-3</v>
      </c>
      <c r="L14" s="48">
        <f t="shared" si="2"/>
        <v>-2456</v>
      </c>
      <c r="M14" s="61">
        <f t="shared" si="3"/>
        <v>-2478.1039999999998</v>
      </c>
      <c r="N14" s="61">
        <f t="shared" si="3"/>
        <v>-2500.4069359999994</v>
      </c>
      <c r="O14" s="61">
        <f t="shared" si="3"/>
        <v>-2522.9105984239991</v>
      </c>
      <c r="P14" s="62">
        <f t="shared" si="3"/>
        <v>-2545.6167938098151</v>
      </c>
    </row>
    <row r="15" spans="1:16" ht="16.149999999999999" thickBot="1" x14ac:dyDescent="0.55000000000000004">
      <c r="C15" s="83"/>
      <c r="D15" s="44" t="s">
        <v>12</v>
      </c>
      <c r="E15" s="30">
        <v>7.0000000000000001E-3</v>
      </c>
      <c r="F15" s="36" t="s">
        <v>22</v>
      </c>
      <c r="I15" s="82"/>
      <c r="J15" s="42" t="s">
        <v>11</v>
      </c>
      <c r="K15" s="58">
        <f>$E$14</f>
        <v>0.02</v>
      </c>
      <c r="L15" s="48">
        <f t="shared" si="2"/>
        <v>3456</v>
      </c>
      <c r="M15" s="61">
        <f t="shared" si="3"/>
        <v>3525.12</v>
      </c>
      <c r="N15" s="61">
        <f t="shared" si="3"/>
        <v>3595.6224000000002</v>
      </c>
      <c r="O15" s="61">
        <f t="shared" si="3"/>
        <v>3667.5348479999998</v>
      </c>
      <c r="P15" s="62">
        <f t="shared" si="3"/>
        <v>3740.8855449600001</v>
      </c>
    </row>
    <row r="16" spans="1:16" ht="16.149999999999999" thickBot="1" x14ac:dyDescent="0.55000000000000004">
      <c r="I16" s="83"/>
      <c r="J16" s="42" t="s">
        <v>12</v>
      </c>
      <c r="K16" s="58">
        <f>IF((0.02 &lt;= $E$17)*($E$17 &lt;= 0.04),1+1.5%,1)*$E$15</f>
        <v>7.1049999999999993E-3</v>
      </c>
      <c r="L16" s="48">
        <f t="shared" si="2"/>
        <v>2870</v>
      </c>
      <c r="M16" s="61">
        <f t="shared" si="3"/>
        <v>2849.6086500000001</v>
      </c>
      <c r="N16" s="61">
        <f t="shared" si="3"/>
        <v>2829.3621805417501</v>
      </c>
      <c r="O16" s="61">
        <f t="shared" si="3"/>
        <v>2809.2595622490007</v>
      </c>
      <c r="P16" s="62">
        <f t="shared" si="3"/>
        <v>2789.2997730592219</v>
      </c>
    </row>
    <row r="17" spans="4:16" ht="16.149999999999999" thickBot="1" x14ac:dyDescent="0.55000000000000004">
      <c r="D17" s="28" t="s">
        <v>18</v>
      </c>
      <c r="E17" s="27">
        <v>0.04</v>
      </c>
      <c r="J17" s="54" t="s">
        <v>25</v>
      </c>
      <c r="K17" s="55"/>
      <c r="L17" s="56">
        <f>SUM(L$11:L$16)</f>
        <v>203896</v>
      </c>
      <c r="M17" s="67">
        <f>SUM(M$11:M$16)</f>
        <v>204217.73785000003</v>
      </c>
      <c r="N17" s="67">
        <f t="shared" ref="N17:P17" si="4">SUM(N$11:N$16)</f>
        <v>204555.09584602175</v>
      </c>
      <c r="O17" s="67">
        <f t="shared" si="4"/>
        <v>204908.09719882079</v>
      </c>
      <c r="P17" s="68">
        <f t="shared" si="4"/>
        <v>205276.76695397316</v>
      </c>
    </row>
    <row r="18" spans="4:16" ht="16.149999999999999" thickBot="1" x14ac:dyDescent="0.55000000000000004">
      <c r="I18" s="32" t="s">
        <v>26</v>
      </c>
      <c r="J18" s="51" t="str">
        <f>"= Total revenue - Total expenses"</f>
        <v>= Total revenue - Total expenses</v>
      </c>
      <c r="K18" s="52"/>
      <c r="L18" s="53">
        <f>L$10-L$17</f>
        <v>344259</v>
      </c>
      <c r="M18" s="69">
        <f>M$10-M$17</f>
        <v>345789.63472499989</v>
      </c>
      <c r="N18" s="69">
        <f t="shared" ref="N18:P18" si="5">N$10-N$17</f>
        <v>347341.51650846528</v>
      </c>
      <c r="O18" s="69">
        <f t="shared" si="5"/>
        <v>348915.79491755646</v>
      </c>
      <c r="P18" s="70">
        <f t="shared" si="5"/>
        <v>350513.65404190269</v>
      </c>
    </row>
    <row r="19" spans="4:16" ht="16.149999999999999" thickBot="1" x14ac:dyDescent="0.55000000000000004"/>
    <row r="20" spans="4:16" ht="16.149999999999999" thickBot="1" x14ac:dyDescent="0.55000000000000004">
      <c r="I20" s="87" t="s">
        <v>30</v>
      </c>
      <c r="J20" s="88" t="str">
        <f>"= Sum of Net incomes for 2021-2025"</f>
        <v>= Sum of Net incomes for 2021-2025</v>
      </c>
      <c r="K20" s="90">
        <f>SUM(L18:P18)</f>
        <v>1736819.6001929243</v>
      </c>
      <c r="L20" s="91"/>
      <c r="M20" s="91"/>
      <c r="N20" s="91"/>
      <c r="O20" s="91"/>
      <c r="P20" s="92"/>
    </row>
    <row r="28" spans="4:16" x14ac:dyDescent="0.5">
      <c r="I28" s="89"/>
    </row>
  </sheetData>
  <mergeCells count="9">
    <mergeCell ref="C10:C15"/>
    <mergeCell ref="I7:I9"/>
    <mergeCell ref="I11:I16"/>
    <mergeCell ref="K20:P20"/>
    <mergeCell ref="L5:P5"/>
    <mergeCell ref="K5:K6"/>
    <mergeCell ref="C1:F2"/>
    <mergeCell ref="D4:E4"/>
    <mergeCell ref="C7:C9"/>
  </mergeCells>
  <conditionalFormatting sqref="F7:F15">
    <cfRule type="cellIs" dxfId="6" priority="6" operator="equal">
      <formula>"Increase"</formula>
    </cfRule>
    <cfRule type="cellIs" dxfId="5" priority="7" operator="equal">
      <formula>"Decrease"</formula>
    </cfRule>
  </conditionalFormatting>
  <conditionalFormatting sqref="K9">
    <cfRule type="cellIs" dxfId="4" priority="5" operator="notEqual">
      <formula>$E$9</formula>
    </cfRule>
  </conditionalFormatting>
  <conditionalFormatting sqref="K11">
    <cfRule type="cellIs" dxfId="3" priority="4" operator="notEqual">
      <formula>$E$10</formula>
    </cfRule>
  </conditionalFormatting>
  <conditionalFormatting sqref="K13">
    <cfRule type="cellIs" dxfId="2" priority="3" operator="notEqual">
      <formula>$E$12</formula>
    </cfRule>
  </conditionalFormatting>
  <conditionalFormatting sqref="K16">
    <cfRule type="cellIs" dxfId="1" priority="2" operator="notEqual">
      <formula>$E$15</formula>
    </cfRule>
  </conditionalFormatting>
  <conditionalFormatting sqref="L7:P18">
    <cfRule type="cellIs" dxfId="0" priority="1" operator="lessThan">
      <formula>0</formula>
    </cfRule>
  </conditionalFormatting>
  <dataValidations count="3">
    <dataValidation type="decimal" allowBlank="1" showInputMessage="1" showErrorMessage="1" prompt="Input a percentage, or any number between 0 and 1." sqref="E7:E15" xr:uid="{CD8FE6A3-198F-4540-8622-CF055091B3B7}">
      <formula1>0</formula1>
      <formula2>1</formula2>
    </dataValidation>
    <dataValidation type="decimal" allowBlank="1" showInputMessage="1" showErrorMessage="1" prompt="Input a percentage or any number between 0 and 1. " sqref="E17" xr:uid="{4CFD3F2A-679B-4185-877E-108172CE87BC}">
      <formula1>0</formula1>
      <formula2>1</formula2>
    </dataValidation>
    <dataValidation type="list" allowBlank="1" showInputMessage="1" showErrorMessage="1" sqref="F7:F15" xr:uid="{B1FB488C-54F9-42E5-B51E-B461569FAA98}">
      <formula1>$A$3:$A$5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2021 Income Statement</vt:lpstr>
      <vt:lpstr>Income Projections</vt:lpstr>
      <vt:lpstr>expenses</vt:lpstr>
      <vt:lpstr>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Lee, Jonghyun</cp:lastModifiedBy>
  <dcterms:created xsi:type="dcterms:W3CDTF">2021-09-19T01:10:25Z</dcterms:created>
  <dcterms:modified xsi:type="dcterms:W3CDTF">2026-09-11T21:53:44Z</dcterms:modified>
</cp:coreProperties>
</file>